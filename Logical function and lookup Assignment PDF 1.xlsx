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bhradip Sinha\Downloads\"/>
    </mc:Choice>
  </mc:AlternateContent>
  <xr:revisionPtr revIDLastSave="0" documentId="8_{9D177248-0251-4A53-BF72-66F9CC4E9DEE}" xr6:coauthVersionLast="47" xr6:coauthVersionMax="47" xr10:uidLastSave="{00000000-0000-0000-0000-000000000000}"/>
  <bookViews>
    <workbookView xWindow="-108" yWindow="-108" windowWidth="23256" windowHeight="12456" xr2:uid="{296DA1E7-D66F-45E9-801F-D73C78C62F12}"/>
  </bookViews>
  <sheets>
    <sheet name="Q1✅" sheetId="1" r:id="rId1"/>
    <sheet name="Q2✅" sheetId="2" r:id="rId2"/>
    <sheet name="Q3✅" sheetId="3" r:id="rId3"/>
    <sheet name="Q4✅" sheetId="4" r:id="rId4"/>
    <sheet name="Q5✅" sheetId="5" r:id="rId5"/>
    <sheet name="Q6✅" sheetId="6" r:id="rId6"/>
    <sheet name="Q7✅" sheetId="8" r:id="rId7"/>
    <sheet name="Q8✅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1" i="1" l="1"/>
  <c r="E53" i="1"/>
  <c r="D49" i="1"/>
  <c r="D48" i="1"/>
  <c r="D47" i="1"/>
  <c r="E38" i="1"/>
  <c r="F28" i="1"/>
  <c r="C24" i="1"/>
  <c r="C23" i="1"/>
  <c r="C22" i="1"/>
  <c r="C21" i="1"/>
  <c r="C20" i="1"/>
  <c r="D16" i="1"/>
  <c r="D15" i="1"/>
  <c r="D14" i="1"/>
  <c r="D13" i="1"/>
  <c r="F2" i="5"/>
  <c r="F2" i="8"/>
  <c r="G2" i="7"/>
  <c r="D3" i="6"/>
  <c r="D4" i="6"/>
  <c r="D2" i="6"/>
  <c r="H2" i="4"/>
  <c r="C3" i="3"/>
  <c r="C4" i="3"/>
  <c r="C5" i="3"/>
  <c r="C6" i="3"/>
  <c r="C2" i="3"/>
  <c r="D3" i="2"/>
  <c r="D4" i="2"/>
  <c r="D5" i="2"/>
  <c r="D2" i="2"/>
  <c r="C6" i="1" l="1"/>
  <c r="C7" i="1"/>
  <c r="C8" i="1"/>
  <c r="C9" i="1"/>
  <c r="C5" i="1"/>
</calcChain>
</file>

<file path=xl/sharedStrings.xml><?xml version="1.0" encoding="utf-8"?>
<sst xmlns="http://schemas.openxmlformats.org/spreadsheetml/2006/main" count="157" uniqueCount="63">
  <si>
    <t>Marks</t>
  </si>
  <si>
    <t>Student Name</t>
  </si>
  <si>
    <t>Riya</t>
  </si>
  <si>
    <t>Rahul</t>
  </si>
  <si>
    <t>Siya</t>
  </si>
  <si>
    <t xml:space="preserve">Raju </t>
  </si>
  <si>
    <t xml:space="preserve">Ram </t>
  </si>
  <si>
    <t>Result</t>
  </si>
  <si>
    <t>Sales</t>
  </si>
  <si>
    <t xml:space="preserve">Employee  </t>
  </si>
  <si>
    <t>Attendance</t>
  </si>
  <si>
    <t>Arjun</t>
  </si>
  <si>
    <t>Anjali</t>
  </si>
  <si>
    <t>Simran</t>
  </si>
  <si>
    <t>Rohit</t>
  </si>
  <si>
    <t>Bouns Eligibility</t>
  </si>
  <si>
    <t>Raj</t>
  </si>
  <si>
    <t>Rani</t>
  </si>
  <si>
    <t>Neha</t>
  </si>
  <si>
    <t>Sneha</t>
  </si>
  <si>
    <t>Vivek</t>
  </si>
  <si>
    <t>Grade</t>
  </si>
  <si>
    <t>Name</t>
  </si>
  <si>
    <t xml:space="preserve">EmpID  </t>
  </si>
  <si>
    <t>Department</t>
  </si>
  <si>
    <t>E101</t>
  </si>
  <si>
    <t>Raju</t>
  </si>
  <si>
    <t>IT</t>
  </si>
  <si>
    <t>E104</t>
  </si>
  <si>
    <t>Sejal</t>
  </si>
  <si>
    <t>E102</t>
  </si>
  <si>
    <t>HR</t>
  </si>
  <si>
    <t>E103</t>
  </si>
  <si>
    <t>Roshni</t>
  </si>
  <si>
    <t>Finance</t>
  </si>
  <si>
    <t>Vlookup is used because it search a value vertically in the first column</t>
  </si>
  <si>
    <t>Its ideal when lookup value is in the first column</t>
  </si>
  <si>
    <t>Explanation</t>
  </si>
  <si>
    <t xml:space="preserve">Sales Amount </t>
  </si>
  <si>
    <t>Commission Rate</t>
  </si>
  <si>
    <t xml:space="preserve">Employee Name </t>
  </si>
  <si>
    <t>Leaves Taken</t>
  </si>
  <si>
    <t>Leaves Allowed</t>
  </si>
  <si>
    <t>Alex</t>
  </si>
  <si>
    <t>Bob</t>
  </si>
  <si>
    <t>Anna</t>
  </si>
  <si>
    <t>Leave Exceeded</t>
  </si>
  <si>
    <t xml:space="preserve">EmpID </t>
  </si>
  <si>
    <t>Salary</t>
  </si>
  <si>
    <t>E301</t>
  </si>
  <si>
    <t>E303</t>
  </si>
  <si>
    <t>E106</t>
  </si>
  <si>
    <t>E105</t>
  </si>
  <si>
    <t xml:space="preserve">E106 </t>
  </si>
  <si>
    <t>Question-1 Write a formula to check if the marks in cell B2 are greater than or equal to 40. If yes, return "Pass", otherwise "Fail""</t>
  </si>
  <si>
    <t>Question-2 A Company gives a bonus if sales are above 40,000 and attendance is greater than or equal to 90%. Write a formula to calculate whether the employee will get a bonus or not .</t>
  </si>
  <si>
    <t>Ouestion-3 Write a nested IFformula: If marks in are ≥ 90 → "A", ≥ 75 →"B" , ≥ 50</t>
  </si>
  <si>
    <t>Ouestion-4 Find the Department of Employee ID = E103. Also explain which LOOKUP function is used and why?</t>
  </si>
  <si>
    <t>Write an IFfunction to check whether an employee has Exceeded their allowed leave balance *If Leaves Taken &gt;</t>
  </si>
  <si>
    <t>Ouestion-6 The HR department maintains the following leave records of employees:onus or not . Allowed Leaves, display"Exceeded".</t>
  </si>
  <si>
    <t>Question-7 Find the salary of EmpID = E105 using INDEX-MATCH Function</t>
  </si>
  <si>
    <t>Question-8 Use the XLOOKUP function to find the Department of the employee with Emp ID = E303</t>
  </si>
  <si>
    <t>Ouestion-5 A Company has set the following commission structure for its sales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</si>
</sst>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1" xfId="0" applyFill="1" applyBorder="1"/>
    <xf numFmtId="0" fontId="1" fillId="3" borderId="1" xfId="0" applyFont="1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top"/>
    </xf>
    <xf numFmtId="0" fontId="0" fillId="5" borderId="1" xfId="0" applyFill="1" applyBorder="1"/>
    <xf numFmtId="0" fontId="0" fillId="5" borderId="2" xfId="0" applyFill="1" applyBorder="1" applyAlignment="1">
      <alignment horizontal="left" vertical="top"/>
    </xf>
    <xf numFmtId="9" fontId="0" fillId="2" borderId="1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center" vertical="top"/>
    </xf>
    <xf numFmtId="0" fontId="1" fillId="3" borderId="5" xfId="0" applyFont="1" applyFill="1" applyBorder="1" applyAlignment="1">
      <alignment horizontal="left" vertical="top"/>
    </xf>
    <xf numFmtId="10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left" vertical="top"/>
    </xf>
    <xf numFmtId="0" fontId="0" fillId="5" borderId="3" xfId="0" applyFill="1" applyBorder="1" applyAlignment="1">
      <alignment horizontal="left" vertical="top"/>
    </xf>
    <xf numFmtId="0" fontId="0" fillId="5" borderId="4" xfId="0" applyFill="1" applyBorder="1" applyAlignment="1">
      <alignment horizontal="left" vertical="top"/>
    </xf>
    <xf numFmtId="0" fontId="0" fillId="5" borderId="1" xfId="0" applyFill="1" applyBorder="1" applyAlignment="1">
      <alignment horizontal="center" vertical="top"/>
    </xf>
    <xf numFmtId="0" fontId="0" fillId="5" borderId="2" xfId="0" applyFill="1" applyBorder="1" applyAlignment="1">
      <alignment vertical="top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0" xfId="0" applyBorder="1"/>
    <xf numFmtId="0" fontId="0" fillId="6" borderId="0" xfId="0" applyFill="1" applyBorder="1"/>
    <xf numFmtId="0" fontId="0" fillId="6" borderId="0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2" borderId="0" xfId="0" applyFill="1" applyBorder="1" applyAlignment="1">
      <alignment horizontal="center" vertical="top"/>
    </xf>
    <xf numFmtId="0" fontId="0" fillId="7" borderId="1" xfId="0" applyFill="1" applyBorder="1"/>
    <xf numFmtId="0" fontId="0" fillId="7" borderId="1" xfId="0" applyFill="1" applyBorder="1" applyAlignment="1">
      <alignment horizontal="center" vertical="top"/>
    </xf>
    <xf numFmtId="0" fontId="0" fillId="7" borderId="1" xfId="0" applyFill="1" applyBorder="1" applyAlignment="1">
      <alignment horizontal="center"/>
    </xf>
    <xf numFmtId="10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8EE95-8DC8-42F2-B2BA-3324BD6FC2A6}">
  <dimension ref="A3:M64"/>
  <sheetViews>
    <sheetView tabSelected="1" zoomScaleNormal="100" workbookViewId="0">
      <selection activeCell="G48" sqref="G48"/>
    </sheetView>
  </sheetViews>
  <sheetFormatPr defaultRowHeight="14.4" x14ac:dyDescent="0.3"/>
  <cols>
    <col min="1" max="1" width="17" customWidth="1"/>
    <col min="2" max="2" width="17.33203125" bestFit="1" customWidth="1"/>
    <col min="3" max="3" width="15.6640625" bestFit="1" customWidth="1"/>
    <col min="4" max="4" width="14" customWidth="1"/>
    <col min="5" max="5" width="20.109375" customWidth="1"/>
    <col min="6" max="6" width="17.33203125" bestFit="1" customWidth="1"/>
    <col min="7" max="7" width="11" customWidth="1"/>
    <col min="8" max="8" width="12.5546875" bestFit="1" customWidth="1"/>
  </cols>
  <sheetData>
    <row r="3" spans="1:5" ht="38.4" customHeight="1" x14ac:dyDescent="0.3">
      <c r="A3" s="33" t="s">
        <v>54</v>
      </c>
      <c r="B3" s="33"/>
      <c r="C3" s="33"/>
      <c r="D3" s="33"/>
      <c r="E3" s="33"/>
    </row>
    <row r="4" spans="1:5" ht="15.6" x14ac:dyDescent="0.3">
      <c r="A4" s="2" t="s">
        <v>1</v>
      </c>
      <c r="B4" s="2" t="s">
        <v>0</v>
      </c>
      <c r="C4" s="2" t="s">
        <v>7</v>
      </c>
    </row>
    <row r="5" spans="1:5" x14ac:dyDescent="0.3">
      <c r="A5" s="4" t="s">
        <v>2</v>
      </c>
      <c r="B5" s="4">
        <v>45</v>
      </c>
      <c r="C5" s="32" t="str">
        <f>IF(B5&gt;=40,"Pass","Failed")</f>
        <v>Pass</v>
      </c>
    </row>
    <row r="6" spans="1:5" x14ac:dyDescent="0.3">
      <c r="A6" s="4" t="s">
        <v>4</v>
      </c>
      <c r="B6" s="4">
        <v>72</v>
      </c>
      <c r="C6" s="32" t="str">
        <f t="shared" ref="C6:C9" si="0">IF(B6&gt;=40,"Pass","Failed")</f>
        <v>Pass</v>
      </c>
    </row>
    <row r="7" spans="1:5" x14ac:dyDescent="0.3">
      <c r="A7" s="4" t="s">
        <v>5</v>
      </c>
      <c r="B7" s="4">
        <v>55</v>
      </c>
      <c r="C7" s="32" t="str">
        <f t="shared" si="0"/>
        <v>Pass</v>
      </c>
    </row>
    <row r="8" spans="1:5" x14ac:dyDescent="0.3">
      <c r="A8" s="4" t="s">
        <v>3</v>
      </c>
      <c r="B8" s="4">
        <v>80</v>
      </c>
      <c r="C8" s="32" t="str">
        <f t="shared" si="0"/>
        <v>Pass</v>
      </c>
    </row>
    <row r="9" spans="1:5" x14ac:dyDescent="0.3">
      <c r="A9" s="4" t="s">
        <v>6</v>
      </c>
      <c r="B9" s="4">
        <v>30</v>
      </c>
      <c r="C9" s="32" t="str">
        <f t="shared" si="0"/>
        <v>Failed</v>
      </c>
    </row>
    <row r="11" spans="1:5" ht="37.200000000000003" customHeight="1" x14ac:dyDescent="0.3">
      <c r="A11" s="33" t="s">
        <v>55</v>
      </c>
      <c r="B11" s="33"/>
      <c r="C11" s="33"/>
      <c r="D11" s="33"/>
      <c r="E11" s="33"/>
    </row>
    <row r="12" spans="1:5" ht="15.6" x14ac:dyDescent="0.3">
      <c r="A12" s="2" t="s">
        <v>9</v>
      </c>
      <c r="B12" s="2" t="s">
        <v>8</v>
      </c>
      <c r="C12" s="2" t="s">
        <v>10</v>
      </c>
      <c r="D12" s="2" t="s">
        <v>15</v>
      </c>
    </row>
    <row r="13" spans="1:5" x14ac:dyDescent="0.3">
      <c r="A13" s="4" t="s">
        <v>11</v>
      </c>
      <c r="B13" s="4">
        <v>55000</v>
      </c>
      <c r="C13" s="4">
        <v>95</v>
      </c>
      <c r="D13" s="32" t="str">
        <f>IF(AND(B13&gt;40000,C13&gt;90),"Yes","No")</f>
        <v>Yes</v>
      </c>
    </row>
    <row r="14" spans="1:5" x14ac:dyDescent="0.3">
      <c r="A14" s="4" t="s">
        <v>12</v>
      </c>
      <c r="B14" s="4">
        <v>25000</v>
      </c>
      <c r="C14" s="4">
        <v>65</v>
      </c>
      <c r="D14" s="32" t="str">
        <f t="shared" ref="D14:D16" si="1">IF(AND(B14&gt;40000,C14&gt;90),"Yes","No")</f>
        <v>No</v>
      </c>
    </row>
    <row r="15" spans="1:5" x14ac:dyDescent="0.3">
      <c r="A15" s="4" t="s">
        <v>13</v>
      </c>
      <c r="B15" s="4">
        <v>65000</v>
      </c>
      <c r="C15" s="4">
        <v>85</v>
      </c>
      <c r="D15" s="32" t="str">
        <f t="shared" si="1"/>
        <v>No</v>
      </c>
    </row>
    <row r="16" spans="1:5" x14ac:dyDescent="0.3">
      <c r="A16" s="4" t="s">
        <v>14</v>
      </c>
      <c r="B16" s="4">
        <v>30000</v>
      </c>
      <c r="C16" s="4">
        <v>90</v>
      </c>
      <c r="D16" s="32" t="str">
        <f t="shared" si="1"/>
        <v>No</v>
      </c>
    </row>
    <row r="18" spans="1:13" x14ac:dyDescent="0.3">
      <c r="A18" t="s">
        <v>56</v>
      </c>
    </row>
    <row r="19" spans="1:13" ht="15.6" x14ac:dyDescent="0.3">
      <c r="A19" s="5" t="s">
        <v>1</v>
      </c>
      <c r="B19" s="5" t="s">
        <v>0</v>
      </c>
      <c r="C19" s="5" t="s">
        <v>21</v>
      </c>
    </row>
    <row r="20" spans="1:13" x14ac:dyDescent="0.3">
      <c r="A20" s="4" t="s">
        <v>16</v>
      </c>
      <c r="B20" s="4">
        <v>85</v>
      </c>
      <c r="C20" s="4" t="str">
        <f>IF(B20&gt;=90,"A",IF(B20&gt;=75,"B",IF(B20&gt;=50,"C","Fail")))</f>
        <v>B</v>
      </c>
    </row>
    <row r="21" spans="1:13" x14ac:dyDescent="0.3">
      <c r="A21" s="4" t="s">
        <v>17</v>
      </c>
      <c r="B21" s="4">
        <v>92</v>
      </c>
      <c r="C21" s="4" t="str">
        <f t="shared" ref="C21:C24" si="2">IF(B21&gt;=90,"A",IF(B21&gt;=75,"B",IF(B21&gt;=50,"C","Fail")))</f>
        <v>A</v>
      </c>
    </row>
    <row r="22" spans="1:13" x14ac:dyDescent="0.3">
      <c r="A22" s="4" t="s">
        <v>18</v>
      </c>
      <c r="B22" s="4">
        <v>96</v>
      </c>
      <c r="C22" s="4" t="str">
        <f t="shared" si="2"/>
        <v>A</v>
      </c>
    </row>
    <row r="23" spans="1:13" x14ac:dyDescent="0.3">
      <c r="A23" s="4" t="s">
        <v>19</v>
      </c>
      <c r="B23" s="4">
        <v>75</v>
      </c>
      <c r="C23" s="4" t="str">
        <f t="shared" si="2"/>
        <v>B</v>
      </c>
    </row>
    <row r="24" spans="1:13" x14ac:dyDescent="0.3">
      <c r="A24" s="4" t="s">
        <v>20</v>
      </c>
      <c r="B24" s="4">
        <v>57</v>
      </c>
      <c r="C24" s="4" t="str">
        <f t="shared" si="2"/>
        <v>C</v>
      </c>
    </row>
    <row r="26" spans="1:13" ht="33" customHeight="1" x14ac:dyDescent="0.3">
      <c r="A26" s="33" t="s">
        <v>57</v>
      </c>
      <c r="B26" s="33"/>
      <c r="C26" s="33"/>
      <c r="D26" s="33"/>
      <c r="E26" s="33"/>
    </row>
    <row r="27" spans="1:13" ht="15.6" x14ac:dyDescent="0.3">
      <c r="A27" s="2" t="s">
        <v>23</v>
      </c>
      <c r="B27" s="2" t="s">
        <v>22</v>
      </c>
      <c r="C27" s="2" t="s">
        <v>24</v>
      </c>
      <c r="E27" s="2" t="s">
        <v>23</v>
      </c>
      <c r="F27" s="2" t="s">
        <v>24</v>
      </c>
    </row>
    <row r="28" spans="1:13" x14ac:dyDescent="0.3">
      <c r="A28" s="1" t="s">
        <v>25</v>
      </c>
      <c r="B28" s="1" t="s">
        <v>26</v>
      </c>
      <c r="C28" s="1" t="s">
        <v>27</v>
      </c>
      <c r="E28" s="28" t="s">
        <v>32</v>
      </c>
      <c r="F28" s="28" t="str">
        <f>VLOOKUP(E28,A27:C31,3,0)</f>
        <v>Finance</v>
      </c>
    </row>
    <row r="29" spans="1:13" x14ac:dyDescent="0.3">
      <c r="A29" s="1" t="s">
        <v>28</v>
      </c>
      <c r="B29" s="1" t="s">
        <v>29</v>
      </c>
      <c r="C29" s="1" t="s">
        <v>8</v>
      </c>
      <c r="I29" s="23"/>
      <c r="J29" s="23"/>
      <c r="K29" s="23"/>
      <c r="L29" s="23"/>
      <c r="M29" s="23"/>
    </row>
    <row r="30" spans="1:13" x14ac:dyDescent="0.3">
      <c r="A30" s="1" t="s">
        <v>30</v>
      </c>
      <c r="B30" s="1" t="s">
        <v>2</v>
      </c>
      <c r="C30" s="1" t="s">
        <v>31</v>
      </c>
      <c r="I30" s="24"/>
      <c r="J30" s="24"/>
      <c r="K30" s="24"/>
      <c r="L30" s="24"/>
      <c r="M30" s="24"/>
    </row>
    <row r="31" spans="1:13" x14ac:dyDescent="0.3">
      <c r="A31" s="1" t="s">
        <v>32</v>
      </c>
      <c r="B31" s="1" t="s">
        <v>33</v>
      </c>
      <c r="C31" s="1" t="s">
        <v>34</v>
      </c>
      <c r="I31" s="25"/>
      <c r="J31" s="25"/>
      <c r="K31" s="25"/>
      <c r="L31" s="25"/>
      <c r="M31" s="25"/>
    </row>
    <row r="32" spans="1:13" x14ac:dyDescent="0.3">
      <c r="I32" s="23"/>
      <c r="J32" s="23"/>
      <c r="K32" s="23"/>
      <c r="L32" s="23"/>
      <c r="M32" s="23"/>
    </row>
    <row r="33" spans="1:13" x14ac:dyDescent="0.3">
      <c r="A33" s="21" t="s">
        <v>37</v>
      </c>
      <c r="B33" s="6" t="s">
        <v>35</v>
      </c>
      <c r="C33" s="19"/>
      <c r="D33" s="7"/>
      <c r="I33" s="23"/>
      <c r="J33" s="23"/>
      <c r="K33" s="23"/>
      <c r="L33" s="23"/>
      <c r="M33" s="23"/>
    </row>
    <row r="34" spans="1:13" x14ac:dyDescent="0.3">
      <c r="A34" s="22"/>
      <c r="B34" s="8" t="s">
        <v>36</v>
      </c>
      <c r="C34" s="20"/>
      <c r="D34" s="26"/>
      <c r="I34" s="23"/>
      <c r="J34" s="23"/>
      <c r="K34" s="23"/>
      <c r="L34" s="23"/>
      <c r="M34" s="23"/>
    </row>
    <row r="35" spans="1:13" x14ac:dyDescent="0.3">
      <c r="I35" s="23"/>
      <c r="J35" s="23"/>
      <c r="K35" s="23"/>
      <c r="L35" s="23"/>
      <c r="M35" s="23"/>
    </row>
    <row r="36" spans="1:13" x14ac:dyDescent="0.3">
      <c r="A36" s="34" t="s">
        <v>62</v>
      </c>
      <c r="B36" s="34"/>
      <c r="C36" s="34"/>
      <c r="D36" s="34"/>
      <c r="E36" s="34"/>
    </row>
    <row r="37" spans="1:13" ht="15.6" x14ac:dyDescent="0.3">
      <c r="A37" s="5" t="s">
        <v>38</v>
      </c>
      <c r="B37" s="5" t="s">
        <v>39</v>
      </c>
      <c r="D37" s="11" t="s">
        <v>38</v>
      </c>
      <c r="E37" s="11" t="s">
        <v>39</v>
      </c>
    </row>
    <row r="38" spans="1:13" x14ac:dyDescent="0.3">
      <c r="A38" s="4">
        <v>0</v>
      </c>
      <c r="B38" s="9">
        <v>0.05</v>
      </c>
      <c r="D38" s="30">
        <v>45000</v>
      </c>
      <c r="E38" s="31">
        <f>VLOOKUP(D38,A37:B41,2,1)</f>
        <v>0.1</v>
      </c>
    </row>
    <row r="39" spans="1:13" x14ac:dyDescent="0.3">
      <c r="A39" s="4">
        <v>20000</v>
      </c>
      <c r="B39" s="9">
        <v>0.1</v>
      </c>
    </row>
    <row r="40" spans="1:13" x14ac:dyDescent="0.3">
      <c r="A40" s="4">
        <v>50000</v>
      </c>
      <c r="B40" s="9">
        <v>0.15</v>
      </c>
    </row>
    <row r="41" spans="1:13" x14ac:dyDescent="0.3">
      <c r="A41" s="4">
        <v>80000</v>
      </c>
      <c r="B41" s="9">
        <v>0.2</v>
      </c>
    </row>
    <row r="44" spans="1:13" x14ac:dyDescent="0.3">
      <c r="A44" s="34" t="s">
        <v>59</v>
      </c>
      <c r="B44" s="34"/>
      <c r="C44" s="34"/>
      <c r="D44" s="34"/>
      <c r="E44" s="34"/>
    </row>
    <row r="45" spans="1:13" ht="31.8" customHeight="1" x14ac:dyDescent="0.3">
      <c r="A45" s="33" t="s">
        <v>58</v>
      </c>
      <c r="B45" s="33"/>
      <c r="C45" s="33"/>
      <c r="D45" s="33"/>
      <c r="E45" s="33"/>
    </row>
    <row r="46" spans="1:13" ht="15.6" x14ac:dyDescent="0.3">
      <c r="A46" s="11" t="s">
        <v>40</v>
      </c>
      <c r="B46" s="11" t="s">
        <v>41</v>
      </c>
      <c r="C46" s="11" t="s">
        <v>42</v>
      </c>
      <c r="D46" s="13" t="s">
        <v>46</v>
      </c>
    </row>
    <row r="47" spans="1:13" x14ac:dyDescent="0.3">
      <c r="A47" s="12" t="s">
        <v>43</v>
      </c>
      <c r="B47" s="12">
        <v>10</v>
      </c>
      <c r="C47" s="12">
        <v>12</v>
      </c>
      <c r="D47" s="30" t="str">
        <f>IF(B47&gt;C47," Exceeded","Ok")</f>
        <v>Ok</v>
      </c>
    </row>
    <row r="48" spans="1:13" x14ac:dyDescent="0.3">
      <c r="A48" s="12" t="s">
        <v>44</v>
      </c>
      <c r="B48" s="12">
        <v>10</v>
      </c>
      <c r="C48" s="12">
        <v>15</v>
      </c>
      <c r="D48" s="30" t="str">
        <f t="shared" ref="D48:D49" si="3">IF(B48&gt;C48," Exceeded","Ok")</f>
        <v>Ok</v>
      </c>
    </row>
    <row r="49" spans="1:5" x14ac:dyDescent="0.3">
      <c r="A49" s="12" t="s">
        <v>45</v>
      </c>
      <c r="B49" s="12">
        <v>8</v>
      </c>
      <c r="C49" s="12">
        <v>12</v>
      </c>
      <c r="D49" s="30" t="str">
        <f t="shared" si="3"/>
        <v>Ok</v>
      </c>
    </row>
    <row r="51" spans="1:5" x14ac:dyDescent="0.3">
      <c r="A51" t="s">
        <v>60</v>
      </c>
    </row>
    <row r="52" spans="1:5" ht="15.6" x14ac:dyDescent="0.3">
      <c r="A52" s="10" t="s">
        <v>47</v>
      </c>
      <c r="B52" s="10" t="s">
        <v>48</v>
      </c>
      <c r="D52" s="10" t="s">
        <v>47</v>
      </c>
      <c r="E52" s="10" t="s">
        <v>48</v>
      </c>
    </row>
    <row r="53" spans="1:5" x14ac:dyDescent="0.3">
      <c r="A53" s="12" t="s">
        <v>28</v>
      </c>
      <c r="B53" s="12">
        <v>55000</v>
      </c>
      <c r="D53" s="29" t="s">
        <v>52</v>
      </c>
      <c r="E53" s="30">
        <f>INDEX(B53:B56,MATCH(D53,A53:A56,0))</f>
        <v>72000</v>
      </c>
    </row>
    <row r="54" spans="1:5" x14ac:dyDescent="0.3">
      <c r="A54" s="12" t="s">
        <v>30</v>
      </c>
      <c r="B54" s="12">
        <v>41000</v>
      </c>
    </row>
    <row r="55" spans="1:5" x14ac:dyDescent="0.3">
      <c r="A55" s="3" t="s">
        <v>53</v>
      </c>
      <c r="B55" s="12">
        <v>62000</v>
      </c>
    </row>
    <row r="56" spans="1:5" x14ac:dyDescent="0.3">
      <c r="A56" s="12" t="s">
        <v>52</v>
      </c>
      <c r="B56" s="12">
        <v>72000</v>
      </c>
    </row>
    <row r="57" spans="1:5" x14ac:dyDescent="0.3">
      <c r="A57" s="27"/>
      <c r="B57" s="27"/>
    </row>
    <row r="59" spans="1:5" x14ac:dyDescent="0.3">
      <c r="A59" t="s">
        <v>61</v>
      </c>
    </row>
    <row r="60" spans="1:5" ht="15.6" x14ac:dyDescent="0.3">
      <c r="A60" s="2" t="s">
        <v>47</v>
      </c>
      <c r="B60" s="2" t="s">
        <v>24</v>
      </c>
      <c r="D60" s="2" t="s">
        <v>47</v>
      </c>
      <c r="E60" s="2" t="s">
        <v>24</v>
      </c>
    </row>
    <row r="61" spans="1:5" x14ac:dyDescent="0.3">
      <c r="A61" s="1" t="s">
        <v>25</v>
      </c>
      <c r="B61" s="1" t="s">
        <v>31</v>
      </c>
      <c r="D61" s="28" t="s">
        <v>50</v>
      </c>
      <c r="E61" s="28" t="str">
        <f>_xlfn.XLOOKUP(D61,A60:A64,B60:B64,"Data is Not available in Table",,)</f>
        <v>IT</v>
      </c>
    </row>
    <row r="62" spans="1:5" x14ac:dyDescent="0.3">
      <c r="A62" s="1" t="s">
        <v>49</v>
      </c>
      <c r="B62" s="1" t="s">
        <v>34</v>
      </c>
    </row>
    <row r="63" spans="1:5" x14ac:dyDescent="0.3">
      <c r="A63" s="1" t="s">
        <v>50</v>
      </c>
      <c r="B63" s="1" t="s">
        <v>27</v>
      </c>
    </row>
    <row r="64" spans="1:5" x14ac:dyDescent="0.3">
      <c r="A64" s="1" t="s">
        <v>51</v>
      </c>
      <c r="B64" s="1" t="s">
        <v>8</v>
      </c>
    </row>
  </sheetData>
  <mergeCells count="7">
    <mergeCell ref="A36:E36"/>
    <mergeCell ref="A44:E44"/>
    <mergeCell ref="A45:E45"/>
    <mergeCell ref="A33:A34"/>
    <mergeCell ref="A3:E3"/>
    <mergeCell ref="A11:E11"/>
    <mergeCell ref="A26:E2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18EE1-5911-4DAA-B576-2FF0DFD64AF5}">
  <dimension ref="A1:D5"/>
  <sheetViews>
    <sheetView workbookViewId="0">
      <selection sqref="A1:D5"/>
    </sheetView>
  </sheetViews>
  <sheetFormatPr defaultRowHeight="14.4" x14ac:dyDescent="0.3"/>
  <cols>
    <col min="1" max="1" width="11.21875" bestFit="1" customWidth="1"/>
    <col min="2" max="2" width="6" bestFit="1" customWidth="1"/>
    <col min="3" max="3" width="11.77734375" bestFit="1" customWidth="1"/>
    <col min="4" max="4" width="15.88671875" bestFit="1" customWidth="1"/>
  </cols>
  <sheetData>
    <row r="1" spans="1:4" ht="15.6" x14ac:dyDescent="0.3">
      <c r="A1" s="2" t="s">
        <v>9</v>
      </c>
      <c r="B1" s="2" t="s">
        <v>8</v>
      </c>
      <c r="C1" s="2" t="s">
        <v>10</v>
      </c>
      <c r="D1" s="2" t="s">
        <v>15</v>
      </c>
    </row>
    <row r="2" spans="1:4" x14ac:dyDescent="0.3">
      <c r="A2" s="4" t="s">
        <v>11</v>
      </c>
      <c r="B2" s="4">
        <v>55000</v>
      </c>
      <c r="C2" s="4">
        <v>95</v>
      </c>
      <c r="D2" s="4" t="str">
        <f>IF(AND(B2&gt;40000,C2&gt;90),"Yes","No")</f>
        <v>Yes</v>
      </c>
    </row>
    <row r="3" spans="1:4" x14ac:dyDescent="0.3">
      <c r="A3" s="4" t="s">
        <v>12</v>
      </c>
      <c r="B3" s="4">
        <v>25000</v>
      </c>
      <c r="C3" s="4">
        <v>65</v>
      </c>
      <c r="D3" s="4" t="str">
        <f t="shared" ref="D3:D5" si="0">IF(AND(B3&gt;40000,C3&gt;90),"Yes","No")</f>
        <v>No</v>
      </c>
    </row>
    <row r="4" spans="1:4" x14ac:dyDescent="0.3">
      <c r="A4" s="4" t="s">
        <v>13</v>
      </c>
      <c r="B4" s="4">
        <v>65000</v>
      </c>
      <c r="C4" s="4">
        <v>85</v>
      </c>
      <c r="D4" s="4" t="str">
        <f t="shared" si="0"/>
        <v>No</v>
      </c>
    </row>
    <row r="5" spans="1:4" x14ac:dyDescent="0.3">
      <c r="A5" s="4" t="s">
        <v>14</v>
      </c>
      <c r="B5" s="4">
        <v>30000</v>
      </c>
      <c r="C5" s="4">
        <v>90</v>
      </c>
      <c r="D5" s="4" t="str">
        <f t="shared" si="0"/>
        <v>No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1EDCB-303B-4786-ABE0-45BAB207D153}">
  <dimension ref="A1:C6"/>
  <sheetViews>
    <sheetView workbookViewId="0">
      <selection sqref="A1:C6"/>
    </sheetView>
  </sheetViews>
  <sheetFormatPr defaultRowHeight="14.4" x14ac:dyDescent="0.3"/>
  <cols>
    <col min="1" max="1" width="14.44140625" bestFit="1" customWidth="1"/>
    <col min="2" max="2" width="6.77734375" bestFit="1" customWidth="1"/>
    <col min="3" max="3" width="6.6640625" bestFit="1" customWidth="1"/>
  </cols>
  <sheetData>
    <row r="1" spans="1:3" ht="15.6" x14ac:dyDescent="0.3">
      <c r="A1" s="5" t="s">
        <v>1</v>
      </c>
      <c r="B1" s="5" t="s">
        <v>0</v>
      </c>
      <c r="C1" s="5" t="s">
        <v>21</v>
      </c>
    </row>
    <row r="2" spans="1:3" x14ac:dyDescent="0.3">
      <c r="A2" s="4" t="s">
        <v>16</v>
      </c>
      <c r="B2" s="4">
        <v>85</v>
      </c>
      <c r="C2" s="4" t="str">
        <f>IF(B2&gt;=90,"A",IF(B2&gt;=75,"B",IF(B2&gt;=50,"C","Fail")))</f>
        <v>B</v>
      </c>
    </row>
    <row r="3" spans="1:3" x14ac:dyDescent="0.3">
      <c r="A3" s="4" t="s">
        <v>17</v>
      </c>
      <c r="B3" s="4">
        <v>92</v>
      </c>
      <c r="C3" s="4" t="str">
        <f t="shared" ref="C3:C6" si="0">IF(B3&gt;=90,"A",IF(B3&gt;=75,"B",IF(B3&gt;=50,"C","Fail")))</f>
        <v>A</v>
      </c>
    </row>
    <row r="4" spans="1:3" x14ac:dyDescent="0.3">
      <c r="A4" s="4" t="s">
        <v>18</v>
      </c>
      <c r="B4" s="4">
        <v>96</v>
      </c>
      <c r="C4" s="4" t="str">
        <f t="shared" si="0"/>
        <v>A</v>
      </c>
    </row>
    <row r="5" spans="1:3" x14ac:dyDescent="0.3">
      <c r="A5" s="4" t="s">
        <v>19</v>
      </c>
      <c r="B5" s="4">
        <v>75</v>
      </c>
      <c r="C5" s="4" t="str">
        <f t="shared" si="0"/>
        <v>B</v>
      </c>
    </row>
    <row r="6" spans="1:3" x14ac:dyDescent="0.3">
      <c r="A6" s="4" t="s">
        <v>20</v>
      </c>
      <c r="B6" s="4">
        <v>57</v>
      </c>
      <c r="C6" s="4" t="str">
        <f t="shared" si="0"/>
        <v>C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AD8C-8AE5-42CD-B029-26DC76220503}">
  <dimension ref="A1:M6"/>
  <sheetViews>
    <sheetView workbookViewId="0">
      <selection sqref="A1:M6"/>
    </sheetView>
  </sheetViews>
  <sheetFormatPr defaultRowHeight="14.4" x14ac:dyDescent="0.3"/>
  <cols>
    <col min="1" max="1" width="8.21875" bestFit="1" customWidth="1"/>
    <col min="2" max="2" width="6.44140625" bestFit="1" customWidth="1"/>
    <col min="3" max="3" width="12.33203125" bestFit="1" customWidth="1"/>
    <col min="7" max="7" width="8.21875" bestFit="1" customWidth="1"/>
    <col min="8" max="8" width="12.33203125" bestFit="1" customWidth="1"/>
  </cols>
  <sheetData>
    <row r="1" spans="1:13" ht="15.6" x14ac:dyDescent="0.3">
      <c r="A1" s="2" t="s">
        <v>23</v>
      </c>
      <c r="B1" s="2" t="s">
        <v>22</v>
      </c>
      <c r="C1" s="2" t="s">
        <v>24</v>
      </c>
      <c r="G1" s="2" t="s">
        <v>23</v>
      </c>
      <c r="H1" s="2" t="s">
        <v>24</v>
      </c>
    </row>
    <row r="2" spans="1:13" x14ac:dyDescent="0.3">
      <c r="A2" s="1" t="s">
        <v>25</v>
      </c>
      <c r="B2" s="1" t="s">
        <v>26</v>
      </c>
      <c r="C2" s="1" t="s">
        <v>27</v>
      </c>
      <c r="G2" s="1" t="s">
        <v>32</v>
      </c>
      <c r="H2" s="1" t="str">
        <f>VLOOKUP(G2,A1:C5,3,0)</f>
        <v>Finance</v>
      </c>
    </row>
    <row r="3" spans="1:13" x14ac:dyDescent="0.3">
      <c r="A3" s="1" t="s">
        <v>28</v>
      </c>
      <c r="B3" s="1" t="s">
        <v>29</v>
      </c>
      <c r="C3" s="1" t="s">
        <v>8</v>
      </c>
    </row>
    <row r="4" spans="1:13" x14ac:dyDescent="0.3">
      <c r="A4" s="1" t="s">
        <v>30</v>
      </c>
      <c r="B4" s="1" t="s">
        <v>2</v>
      </c>
      <c r="C4" s="1" t="s">
        <v>31</v>
      </c>
    </row>
    <row r="5" spans="1:13" x14ac:dyDescent="0.3">
      <c r="A5" s="1" t="s">
        <v>32</v>
      </c>
      <c r="B5" s="1" t="s">
        <v>33</v>
      </c>
      <c r="C5" s="1" t="s">
        <v>34</v>
      </c>
      <c r="E5" s="15" t="s">
        <v>37</v>
      </c>
      <c r="F5" s="15"/>
      <c r="G5" s="6" t="s">
        <v>35</v>
      </c>
      <c r="H5" s="7"/>
      <c r="I5" s="7"/>
      <c r="J5" s="7"/>
      <c r="K5" s="7"/>
      <c r="L5" s="7"/>
      <c r="M5" s="7"/>
    </row>
    <row r="6" spans="1:13" x14ac:dyDescent="0.3">
      <c r="E6" s="15"/>
      <c r="F6" s="15"/>
      <c r="G6" s="16" t="s">
        <v>36</v>
      </c>
      <c r="H6" s="17"/>
      <c r="I6" s="17"/>
      <c r="J6" s="17"/>
      <c r="K6" s="17"/>
      <c r="L6" s="17"/>
      <c r="M6" s="18"/>
    </row>
  </sheetData>
  <mergeCells count="2">
    <mergeCell ref="E5:F6"/>
    <mergeCell ref="G6:M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425F9-9AC2-4A0E-8978-9392897D9872}">
  <dimension ref="A1:F5"/>
  <sheetViews>
    <sheetView workbookViewId="0">
      <selection sqref="A1:F5"/>
    </sheetView>
  </sheetViews>
  <sheetFormatPr defaultRowHeight="14.4" x14ac:dyDescent="0.3"/>
  <cols>
    <col min="1" max="1" width="14.44140625" bestFit="1" customWidth="1"/>
    <col min="2" max="2" width="17.33203125" bestFit="1" customWidth="1"/>
    <col min="3" max="3" width="7.88671875" customWidth="1"/>
    <col min="5" max="5" width="13.6640625" customWidth="1"/>
    <col min="6" max="6" width="17" customWidth="1"/>
  </cols>
  <sheetData>
    <row r="1" spans="1:6" ht="15.6" x14ac:dyDescent="0.3">
      <c r="A1" s="5" t="s">
        <v>38</v>
      </c>
      <c r="B1" s="5" t="s">
        <v>39</v>
      </c>
      <c r="E1" s="11" t="s">
        <v>38</v>
      </c>
      <c r="F1" s="11" t="s">
        <v>39</v>
      </c>
    </row>
    <row r="2" spans="1:6" x14ac:dyDescent="0.3">
      <c r="A2" s="4">
        <v>0</v>
      </c>
      <c r="B2" s="9">
        <v>0.05</v>
      </c>
      <c r="E2" s="1">
        <v>45000</v>
      </c>
      <c r="F2" s="14">
        <f>VLOOKUP(E2,A1:B5,2,1)</f>
        <v>0.1</v>
      </c>
    </row>
    <row r="3" spans="1:6" x14ac:dyDescent="0.3">
      <c r="A3" s="4">
        <v>20000</v>
      </c>
      <c r="B3" s="9">
        <v>0.1</v>
      </c>
    </row>
    <row r="4" spans="1:6" x14ac:dyDescent="0.3">
      <c r="A4" s="4">
        <v>50000</v>
      </c>
      <c r="B4" s="9">
        <v>0.15</v>
      </c>
    </row>
    <row r="5" spans="1:6" x14ac:dyDescent="0.3">
      <c r="A5" s="4">
        <v>80000</v>
      </c>
      <c r="B5" s="9">
        <v>0.2</v>
      </c>
    </row>
  </sheetData>
  <sortState xmlns:xlrd2="http://schemas.microsoft.com/office/spreadsheetml/2017/richdata2" ref="A2:B5">
    <sortCondition ref="A2:A5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B2D34-217E-4E0C-97B2-2169B139A342}">
  <dimension ref="A1:D4"/>
  <sheetViews>
    <sheetView workbookViewId="0">
      <selection sqref="A1:D4"/>
    </sheetView>
  </sheetViews>
  <sheetFormatPr defaultRowHeight="14.4" x14ac:dyDescent="0.3"/>
  <cols>
    <col min="1" max="1" width="16.77734375" bestFit="1" customWidth="1"/>
    <col min="2" max="2" width="13.44140625" bestFit="1" customWidth="1"/>
    <col min="3" max="3" width="15.44140625" bestFit="1" customWidth="1"/>
    <col min="4" max="4" width="15.5546875" customWidth="1"/>
  </cols>
  <sheetData>
    <row r="1" spans="1:4" ht="15.6" x14ac:dyDescent="0.3">
      <c r="A1" s="11" t="s">
        <v>40</v>
      </c>
      <c r="B1" s="11" t="s">
        <v>41</v>
      </c>
      <c r="C1" s="11" t="s">
        <v>42</v>
      </c>
      <c r="D1" s="13" t="s">
        <v>46</v>
      </c>
    </row>
    <row r="2" spans="1:4" x14ac:dyDescent="0.3">
      <c r="A2" s="12" t="s">
        <v>43</v>
      </c>
      <c r="B2" s="12">
        <v>10</v>
      </c>
      <c r="C2" s="12">
        <v>12</v>
      </c>
      <c r="D2" s="3" t="str">
        <f>IF(B2&gt;C2," Exceeded","Ok")</f>
        <v>Ok</v>
      </c>
    </row>
    <row r="3" spans="1:4" x14ac:dyDescent="0.3">
      <c r="A3" s="12" t="s">
        <v>44</v>
      </c>
      <c r="B3" s="12">
        <v>10</v>
      </c>
      <c r="C3" s="12">
        <v>15</v>
      </c>
      <c r="D3" s="3" t="str">
        <f t="shared" ref="D3:D4" si="0">IF(B3&gt;C3," Exceeded","Ok")</f>
        <v>Ok</v>
      </c>
    </row>
    <row r="4" spans="1:4" x14ac:dyDescent="0.3">
      <c r="A4" s="12" t="s">
        <v>45</v>
      </c>
      <c r="B4" s="12">
        <v>8</v>
      </c>
      <c r="C4" s="12">
        <v>12</v>
      </c>
      <c r="D4" s="3" t="str">
        <f t="shared" si="0"/>
        <v>Ok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902AA-2536-43E5-A0EC-0449665835BD}">
  <dimension ref="A1:F5"/>
  <sheetViews>
    <sheetView workbookViewId="0">
      <selection sqref="A1:F5"/>
    </sheetView>
  </sheetViews>
  <sheetFormatPr defaultRowHeight="14.4" x14ac:dyDescent="0.3"/>
  <sheetData>
    <row r="1" spans="1:6" ht="15.6" x14ac:dyDescent="0.3">
      <c r="A1" s="10" t="s">
        <v>47</v>
      </c>
      <c r="B1" s="10" t="s">
        <v>48</v>
      </c>
      <c r="E1" s="10" t="s">
        <v>47</v>
      </c>
      <c r="F1" s="10" t="s">
        <v>48</v>
      </c>
    </row>
    <row r="2" spans="1:6" x14ac:dyDescent="0.3">
      <c r="A2" s="12" t="s">
        <v>28</v>
      </c>
      <c r="B2" s="12">
        <v>55000</v>
      </c>
      <c r="E2" s="12" t="s">
        <v>52</v>
      </c>
      <c r="F2" s="3">
        <f>INDEX(B2:B5,MATCH(E2,A2:A5,0))</f>
        <v>72000</v>
      </c>
    </row>
    <row r="3" spans="1:6" x14ac:dyDescent="0.3">
      <c r="A3" s="12" t="s">
        <v>30</v>
      </c>
      <c r="B3" s="12">
        <v>41000</v>
      </c>
    </row>
    <row r="4" spans="1:6" x14ac:dyDescent="0.3">
      <c r="A4" s="3" t="s">
        <v>53</v>
      </c>
      <c r="B4" s="12">
        <v>62000</v>
      </c>
    </row>
    <row r="5" spans="1:6" x14ac:dyDescent="0.3">
      <c r="A5" s="12" t="s">
        <v>52</v>
      </c>
      <c r="B5" s="12">
        <v>72000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BF30F-0D0A-4FD4-8A12-C256631352F5}">
  <dimension ref="A1:G5"/>
  <sheetViews>
    <sheetView workbookViewId="0">
      <selection sqref="A1:G6"/>
    </sheetView>
  </sheetViews>
  <sheetFormatPr defaultRowHeight="14.4" x14ac:dyDescent="0.3"/>
  <cols>
    <col min="7" max="7" width="12.33203125" customWidth="1"/>
  </cols>
  <sheetData>
    <row r="1" spans="1:7" ht="15.6" x14ac:dyDescent="0.3">
      <c r="A1" s="2" t="s">
        <v>47</v>
      </c>
      <c r="B1" s="2" t="s">
        <v>24</v>
      </c>
      <c r="F1" s="2" t="s">
        <v>47</v>
      </c>
      <c r="G1" s="2" t="s">
        <v>24</v>
      </c>
    </row>
    <row r="2" spans="1:7" x14ac:dyDescent="0.3">
      <c r="A2" s="1" t="s">
        <v>25</v>
      </c>
      <c r="B2" s="1" t="s">
        <v>31</v>
      </c>
      <c r="F2" s="1" t="s">
        <v>50</v>
      </c>
      <c r="G2" s="1" t="str">
        <f>_xlfn.XLOOKUP(F2,A1:A5,B1:B5,"Data is Not available in Table",,)</f>
        <v>IT</v>
      </c>
    </row>
    <row r="3" spans="1:7" x14ac:dyDescent="0.3">
      <c r="A3" s="1" t="s">
        <v>49</v>
      </c>
      <c r="B3" s="1" t="s">
        <v>34</v>
      </c>
    </row>
    <row r="4" spans="1:7" x14ac:dyDescent="0.3">
      <c r="A4" s="1" t="s">
        <v>50</v>
      </c>
      <c r="B4" s="1" t="s">
        <v>27</v>
      </c>
    </row>
    <row r="5" spans="1:7" x14ac:dyDescent="0.3">
      <c r="A5" s="1" t="s">
        <v>51</v>
      </c>
      <c r="B5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Q1✅</vt:lpstr>
      <vt:lpstr>Q2✅</vt:lpstr>
      <vt:lpstr>Q3✅</vt:lpstr>
      <vt:lpstr>Q4✅</vt:lpstr>
      <vt:lpstr>Q5✅</vt:lpstr>
      <vt:lpstr>Q6✅</vt:lpstr>
      <vt:lpstr>Q7✅</vt:lpstr>
      <vt:lpstr>Q8✅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subhradip sinha</dc:creator>
  <cp:lastModifiedBy>subhradip sinha</cp:lastModifiedBy>
  <cp:lastPrinted>2025-11-02T17:32:47Z</cp:lastPrinted>
  <dcterms:created xsi:type="dcterms:W3CDTF">2025-11-02T12:24:36Z</dcterms:created>
  <dcterms:modified xsi:type="dcterms:W3CDTF">2025-11-02T17:39:21Z</dcterms:modified>
</cp:coreProperties>
</file>